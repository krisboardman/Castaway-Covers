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kristenboardman/Desktop/Castaway-Covers/"/>
    </mc:Choice>
  </mc:AlternateContent>
  <xr:revisionPtr revIDLastSave="0" documentId="13_ncr:1_{7DC2324D-6177-5242-8B53-A6702B9D7835}" xr6:coauthVersionLast="47" xr6:coauthVersionMax="47" xr10:uidLastSave="{00000000-0000-0000-0000-000000000000}"/>
  <bookViews>
    <workbookView xWindow="0" yWindow="660" windowWidth="26280" windowHeight="17660" tabRatio="500" xr2:uid="{00000000-000D-0000-FFFF-FFFF00000000}"/>
  </bookViews>
  <sheets>
    <sheet name="Pricing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17" i="1" l="1"/>
  <c r="B117" i="1"/>
  <c r="C116" i="1"/>
  <c r="B116" i="1"/>
  <c r="C100" i="1"/>
  <c r="B100" i="1"/>
  <c r="C99" i="1"/>
  <c r="B99" i="1"/>
  <c r="C83" i="1"/>
  <c r="B83" i="1"/>
  <c r="C67" i="1"/>
  <c r="B67" i="1"/>
  <c r="C66" i="1"/>
  <c r="B66" i="1"/>
  <c r="C49" i="1"/>
  <c r="B49" i="1"/>
  <c r="C48" i="1"/>
  <c r="B48" i="1"/>
  <c r="C32" i="1"/>
  <c r="B32" i="1"/>
  <c r="C31" i="1"/>
  <c r="B31" i="1"/>
</calcChain>
</file>

<file path=xl/sharedStrings.xml><?xml version="1.0" encoding="utf-8"?>
<sst xmlns="http://schemas.openxmlformats.org/spreadsheetml/2006/main" count="254" uniqueCount="91">
  <si>
    <t>Castaway Covers — Manufacturer Pricing Sheet</t>
  </si>
  <si>
    <t>Labor pricing per cover by furniture type. All prices per cover unless noted.</t>
  </si>
  <si>
    <t>Description</t>
  </si>
  <si>
    <t>Suggested</t>
  </si>
  <si>
    <t>Your Price</t>
  </si>
  <si>
    <t>Per Unit</t>
  </si>
  <si>
    <t>Notes</t>
  </si>
  <si>
    <t>ONE-TIME TEMPLATE DESIGN FEES</t>
  </si>
  <si>
    <t>One-time fee per furniture type to build the base pattern in Rhino. Charged once, not per cover.</t>
  </si>
  <si>
    <t xml:space="preserve">  Chair template</t>
  </si>
  <si>
    <t>one-time</t>
  </si>
  <si>
    <t>Build base chair pattern (main piece + back piece + optional flap)</t>
  </si>
  <si>
    <t xml:space="preserve">  Sofa template — center seam</t>
  </si>
  <si>
    <t>Build base sofa pattern — center seam version</t>
  </si>
  <si>
    <t xml:space="preserve">  Sofa template — center snaps</t>
  </si>
  <si>
    <t>Variant of center seam template — minor modifications only</t>
  </si>
  <si>
    <t xml:space="preserve">  Chaise lounge template</t>
  </si>
  <si>
    <t>Build base chaise pattern (single piece)</t>
  </si>
  <si>
    <t xml:space="preserve">  Table template</t>
  </si>
  <si>
    <t>Build base table pattern</t>
  </si>
  <si>
    <t xml:space="preserve">  Ottoman template</t>
  </si>
  <si>
    <t>Build base ottoman pattern</t>
  </si>
  <si>
    <t>PER-COVER PRICING</t>
  </si>
  <si>
    <t>CHAIR</t>
  </si>
  <si>
    <t xml:space="preserve">  DESIGN &amp; CUTTING</t>
  </si>
  <si>
    <t xml:space="preserve">  Dimension update in Rhino</t>
  </si>
  <si>
    <t>per cover</t>
  </si>
  <si>
    <t>Update base template with customer's measurements</t>
  </si>
  <si>
    <t xml:space="preserve">  Machine cutting</t>
  </si>
  <si>
    <t>Cut all pieces for this cover</t>
  </si>
  <si>
    <t xml:space="preserve">  SEWING</t>
  </si>
  <si>
    <t xml:space="preserve">  Base sewing (2 seams: main + back piece)</t>
  </si>
  <si>
    <t>Main piece + trapezoidal back piece. 2 lap seams.</t>
  </si>
  <si>
    <t xml:space="preserve">    + Front flap (1 additional seam)</t>
  </si>
  <si>
    <t>per seam</t>
  </si>
  <si>
    <t>Added when 54" bolt can't cover full front-to-back distance</t>
  </si>
  <si>
    <t xml:space="preserve">  HARDWARE (parts + install)</t>
  </si>
  <si>
    <t xml:space="preserve">  Grommets (4)</t>
  </si>
  <si>
    <t>4 brass grommets — parts cost</t>
  </si>
  <si>
    <t xml:space="preserve">  Snaps (2)</t>
  </si>
  <si>
    <t>2 snaps (1 per back corner) — parts cost</t>
  </si>
  <si>
    <t xml:space="preserve">  Hardware installation labor</t>
  </si>
  <si>
    <t>Labor to install all grommets + snaps</t>
  </si>
  <si>
    <t xml:space="preserve">  ADD-ONS</t>
  </si>
  <si>
    <t xml:space="preserve">  Handles</t>
  </si>
  <si>
    <t>per handle</t>
  </si>
  <si>
    <t>Sewn fabric handles for easier cover removal</t>
  </si>
  <si>
    <t xml:space="preserve">  Snap straps</t>
  </si>
  <si>
    <t>per strap</t>
  </si>
  <si>
    <t>Fabric straps with snaps for securing cover</t>
  </si>
  <si>
    <t xml:space="preserve">  TOTAL PER COVER (base)</t>
  </si>
  <si>
    <t>Cutting + base sewing + hardware parts &amp; labor (no add-ons, no extra seams)</t>
  </si>
  <si>
    <t xml:space="preserve">  TOTAL PER COVER (with additional seams)</t>
  </si>
  <si>
    <t>Base + all additional seams (no add-ons)</t>
  </si>
  <si>
    <t>SOFA — Option 1: Center Seam</t>
  </si>
  <si>
    <t>Cut all pieces — larger material area than chair</t>
  </si>
  <si>
    <t xml:space="preserve">  Base sewing (center seam + back piece)</t>
  </si>
  <si>
    <t>Main halves joined at center seam + back piece attached.</t>
  </si>
  <si>
    <t xml:space="preserve">    + Side extensions (up to 2 additional seams)</t>
  </si>
  <si>
    <t>Added when width exceeds bolt. 1 seam per side extension.</t>
  </si>
  <si>
    <t>SOFA — Option 2: Center Snaps</t>
  </si>
  <si>
    <t>Cut all pieces — two separate halves</t>
  </si>
  <si>
    <t xml:space="preserve">  Base sewing (2 separate halves + back pieces)</t>
  </si>
  <si>
    <t>Two cover halves, each with own back piece. No center seam — snaps join halves.</t>
  </si>
  <si>
    <t xml:space="preserve">  Corner snaps (2)</t>
  </si>
  <si>
    <t xml:space="preserve">  Center-line snaps (8+)</t>
  </si>
  <si>
    <t>Snaps along center to join two halves — parts cost</t>
  </si>
  <si>
    <t>Labor to install grommets + corner snaps + center snaps</t>
  </si>
  <si>
    <t>CHAISE LOUNGE</t>
  </si>
  <si>
    <t>Cut single piece for this cover</t>
  </si>
  <si>
    <t xml:space="preserve">  No sewing (single piece)</t>
  </si>
  <si>
    <t>One piece — no seams. Cutting and hardware only.</t>
  </si>
  <si>
    <t xml:space="preserve">  Snaps (4)</t>
  </si>
  <si>
    <t>4 snaps (1 per corner) — parts cost</t>
  </si>
  <si>
    <t>TABLE</t>
  </si>
  <si>
    <t>Cut pieces for this cover</t>
  </si>
  <si>
    <t xml:space="preserve">  Base sewing (no seams if fits bolt)</t>
  </si>
  <si>
    <t>Single piece if width fits 54" bolt. Edge finishing only.</t>
  </si>
  <si>
    <t xml:space="preserve">    + Center seam (1 additional seam)</t>
  </si>
  <si>
    <t>Front-to-back seam when cover width exceeds 54" bolt.</t>
  </si>
  <si>
    <t>OTTOMAN</t>
  </si>
  <si>
    <t xml:space="preserve">    + Side strips (up to 2 additional seams)</t>
  </si>
  <si>
    <t>Side strips joined to main panel when width exceeds bolt.</t>
  </si>
  <si>
    <t>INSTRUCTIONS</t>
  </si>
  <si>
    <t>"Suggested" column (blue text) is our starting estimate — please fill in the "Your Price" column (blue cells) with your actual pricing.</t>
  </si>
  <si>
    <t>One-time template fees cover building the initial pattern in Rhino. Per-cover "Dimension update" covers revising the template for each new customer order.</t>
  </si>
  <si>
    <t>Hardware section includes both parts cost (grommets, snaps) and installation labor as separate line items.</t>
  </si>
  <si>
    <t>Totals auto-calculate from the "Your Price" column once you fill in your numbers.</t>
  </si>
  <si>
    <t>Bungee cord is installed by Castaway Covers separately — not included in manufacturer scope.</t>
  </si>
  <si>
    <t>Template updates</t>
  </si>
  <si>
    <t>wavy edge, design updates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</si>
</sst>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12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i/>
      <sz val="10"/>
      <name val="Arial"/>
      <family val="2"/>
    </font>
    <font>
      <b/>
      <sz val="10"/>
      <color rgb="FFFFFFFF"/>
      <name val="Arial"/>
      <family val="2"/>
    </font>
    <font>
      <b/>
      <sz val="12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  <font>
      <sz val="10"/>
      <color rgb="FF99999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F5F5F5"/>
        <bgColor rgb="FFFFF3E0"/>
      </patternFill>
    </fill>
    <fill>
      <patternFill patternType="solid">
        <fgColor rgb="FFE0E0E0"/>
        <bgColor rgb="FFD6EAF8"/>
      </patternFill>
    </fill>
    <fill>
      <patternFill patternType="solid">
        <fgColor rgb="FFFFF9C4"/>
        <bgColor rgb="FFFFF3E0"/>
      </patternFill>
    </fill>
    <fill>
      <patternFill patternType="solid">
        <fgColor rgb="FFD6EAF8"/>
        <bgColor rgb="FFE0E0E0"/>
      </patternFill>
    </fill>
    <fill>
      <patternFill patternType="solid">
        <fgColor rgb="FFBBDEFB"/>
        <bgColor rgb="FFD6EAF8"/>
      </patternFill>
    </fill>
    <fill>
      <patternFill patternType="solid">
        <fgColor rgb="FFC8E6C9"/>
        <bgColor rgb="FFE0E0E0"/>
      </patternFill>
    </fill>
    <fill>
      <patternFill patternType="solid">
        <fgColor rgb="FFE1BEE7"/>
        <bgColor rgb="FFE0E0E0"/>
      </patternFill>
    </fill>
    <fill>
      <patternFill patternType="solid">
        <fgColor rgb="FFFFF3E0"/>
        <bgColor rgb="FFF5F5F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4" fillId="3" borderId="0" xfId="0" applyFont="1" applyFill="1"/>
    <xf numFmtId="0" fontId="0" fillId="3" borderId="0" xfId="0" applyFill="1"/>
    <xf numFmtId="0" fontId="5" fillId="0" borderId="0" xfId="0" applyFont="1"/>
    <xf numFmtId="0" fontId="6" fillId="3" borderId="1" xfId="0" applyFont="1" applyFill="1" applyBorder="1"/>
    <xf numFmtId="164" fontId="7" fillId="3" borderId="1" xfId="0" applyNumberFormat="1" applyFon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4" fillId="0" borderId="0" xfId="0" applyFont="1"/>
    <xf numFmtId="0" fontId="8" fillId="4" borderId="0" xfId="0" applyFont="1" applyFill="1"/>
    <xf numFmtId="0" fontId="0" fillId="4" borderId="0" xfId="0" applyFill="1"/>
    <xf numFmtId="0" fontId="9" fillId="5" borderId="0" xfId="0" applyFont="1" applyFill="1"/>
    <xf numFmtId="0" fontId="0" fillId="5" borderId="0" xfId="0" applyFill="1"/>
    <xf numFmtId="0" fontId="6" fillId="0" borderId="1" xfId="0" applyFont="1" applyBorder="1"/>
    <xf numFmtId="164" fontId="7" fillId="0" borderId="1" xfId="0" applyNumberFormat="1" applyFont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9" fillId="7" borderId="0" xfId="0" applyFont="1" applyFill="1"/>
    <xf numFmtId="0" fontId="0" fillId="7" borderId="0" xfId="0" applyFill="1"/>
    <xf numFmtId="0" fontId="9" fillId="8" borderId="0" xfId="0" applyFont="1" applyFill="1"/>
    <xf numFmtId="0" fontId="0" fillId="8" borderId="0" xfId="0" applyFill="1"/>
    <xf numFmtId="0" fontId="9" fillId="9" borderId="0" xfId="0" applyFont="1" applyFill="1"/>
    <xf numFmtId="0" fontId="0" fillId="9" borderId="0" xfId="0" applyFill="1"/>
    <xf numFmtId="0" fontId="9" fillId="10" borderId="1" xfId="0" applyFont="1" applyFill="1" applyBorder="1"/>
    <xf numFmtId="164" fontId="10" fillId="10" borderId="1" xfId="0" applyNumberFormat="1" applyFont="1" applyFill="1" applyBorder="1" applyAlignment="1">
      <alignment horizontal="center"/>
    </xf>
    <xf numFmtId="164" fontId="9" fillId="10" borderId="1" xfId="0" applyNumberFormat="1" applyFont="1" applyFill="1" applyBorder="1" applyAlignment="1">
      <alignment horizontal="center"/>
    </xf>
    <xf numFmtId="0" fontId="0" fillId="10" borderId="1" xfId="0" applyFill="1" applyBorder="1"/>
    <xf numFmtId="0" fontId="5" fillId="10" borderId="1" xfId="0" applyFont="1" applyFill="1" applyBorder="1"/>
    <xf numFmtId="164" fontId="11" fillId="0" borderId="1" xfId="0" applyNumberFormat="1" applyFont="1" applyBorder="1" applyAlignment="1">
      <alignment horizontal="center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1BEE7"/>
      <rgbColor rgb="FF808080"/>
      <rgbColor rgb="FF9999FF"/>
      <rgbColor rgb="FF993366"/>
      <rgbColor rgb="FFFFF9C4"/>
      <rgbColor rgb="FFD6EAF8"/>
      <rgbColor rgb="FF660066"/>
      <rgbColor rgb="FFFF8080"/>
      <rgbColor rgb="FF0066CC"/>
      <rgbColor rgb="FFBBDE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8E6C9"/>
      <rgbColor rgb="FFFFF3E0"/>
      <rgbColor rgb="FF99CCFF"/>
      <rgbColor rgb="FFFF99CC"/>
      <rgbColor rgb="FFCC99FF"/>
      <rgbColor rgb="FFE0E0E0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5"/>
  <sheetViews>
    <sheetView tabSelected="1" topLeftCell="A33" zoomScaleNormal="100" workbookViewId="0">
      <selection activeCell="B67" sqref="B67"/>
    </sheetView>
  </sheetViews>
  <sheetFormatPr baseColWidth="10" defaultColWidth="8.6640625" defaultRowHeight="15" x14ac:dyDescent="0.2"/>
  <cols>
    <col min="1" max="1" width="48" customWidth="1"/>
    <col min="2" max="4" width="14" customWidth="1"/>
    <col min="5" max="5" width="55" customWidth="1"/>
  </cols>
  <sheetData>
    <row r="1" spans="1:5" ht="18" x14ac:dyDescent="0.2">
      <c r="A1" s="1" t="s">
        <v>0</v>
      </c>
    </row>
    <row r="2" spans="1:5" x14ac:dyDescent="0.2">
      <c r="A2" s="2" t="s">
        <v>1</v>
      </c>
    </row>
    <row r="4" spans="1:5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6" spans="1:5" ht="16" x14ac:dyDescent="0.2">
      <c r="A6" s="4" t="s">
        <v>7</v>
      </c>
      <c r="B6" s="5"/>
      <c r="C6" s="5"/>
      <c r="D6" s="5"/>
      <c r="E6" s="5"/>
    </row>
    <row r="7" spans="1:5" x14ac:dyDescent="0.2">
      <c r="A7" s="6" t="s">
        <v>8</v>
      </c>
    </row>
    <row r="8" spans="1:5" x14ac:dyDescent="0.2">
      <c r="A8" s="7" t="s">
        <v>9</v>
      </c>
      <c r="B8" s="8">
        <v>75</v>
      </c>
      <c r="C8" s="9"/>
      <c r="D8" s="10" t="s">
        <v>10</v>
      </c>
      <c r="E8" s="7" t="s">
        <v>11</v>
      </c>
    </row>
    <row r="9" spans="1:5" x14ac:dyDescent="0.2">
      <c r="A9" s="7" t="s">
        <v>12</v>
      </c>
      <c r="B9" s="8">
        <v>100</v>
      </c>
      <c r="C9" s="9"/>
      <c r="D9" s="10" t="s">
        <v>10</v>
      </c>
      <c r="E9" s="7" t="s">
        <v>13</v>
      </c>
    </row>
    <row r="10" spans="1:5" x14ac:dyDescent="0.2">
      <c r="A10" s="7" t="s">
        <v>14</v>
      </c>
      <c r="B10" s="8">
        <v>25</v>
      </c>
      <c r="C10" s="9"/>
      <c r="D10" s="10" t="s">
        <v>10</v>
      </c>
      <c r="E10" s="7" t="s">
        <v>15</v>
      </c>
    </row>
    <row r="11" spans="1:5" x14ac:dyDescent="0.2">
      <c r="A11" s="7" t="s">
        <v>16</v>
      </c>
      <c r="B11" s="8">
        <v>40</v>
      </c>
      <c r="C11" s="9"/>
      <c r="D11" s="10" t="s">
        <v>10</v>
      </c>
      <c r="E11" s="7" t="s">
        <v>17</v>
      </c>
    </row>
    <row r="12" spans="1:5" x14ac:dyDescent="0.2">
      <c r="A12" s="7" t="s">
        <v>18</v>
      </c>
      <c r="B12" s="8">
        <v>50</v>
      </c>
      <c r="C12" s="9"/>
      <c r="D12" s="10" t="s">
        <v>10</v>
      </c>
      <c r="E12" s="7" t="s">
        <v>19</v>
      </c>
    </row>
    <row r="13" spans="1:5" x14ac:dyDescent="0.2">
      <c r="A13" s="7" t="s">
        <v>20</v>
      </c>
      <c r="B13" s="8">
        <v>50</v>
      </c>
      <c r="C13" s="9"/>
      <c r="D13" s="10" t="s">
        <v>10</v>
      </c>
      <c r="E13" s="7" t="s">
        <v>21</v>
      </c>
    </row>
    <row r="14" spans="1:5" x14ac:dyDescent="0.2">
      <c r="A14" s="7" t="s">
        <v>89</v>
      </c>
      <c r="B14" s="8">
        <v>25</v>
      </c>
      <c r="C14" s="9"/>
      <c r="D14" s="10" t="s">
        <v>10</v>
      </c>
      <c r="E14" s="7" t="s">
        <v>90</v>
      </c>
    </row>
    <row r="16" spans="1:5" ht="16" x14ac:dyDescent="0.2">
      <c r="A16" s="11" t="s">
        <v>22</v>
      </c>
    </row>
    <row r="17" spans="1:5" x14ac:dyDescent="0.2">
      <c r="A17" s="12" t="s">
        <v>23</v>
      </c>
      <c r="B17" s="13"/>
      <c r="C17" s="13"/>
      <c r="D17" s="13"/>
      <c r="E17" s="13"/>
    </row>
    <row r="18" spans="1:5" x14ac:dyDescent="0.2">
      <c r="A18" s="14" t="s">
        <v>24</v>
      </c>
      <c r="B18" s="15"/>
      <c r="C18" s="15"/>
      <c r="D18" s="15"/>
      <c r="E18" s="15"/>
    </row>
    <row r="19" spans="1:5" x14ac:dyDescent="0.2">
      <c r="A19" s="16" t="s">
        <v>25</v>
      </c>
      <c r="B19" s="17">
        <v>5</v>
      </c>
      <c r="C19" s="18"/>
      <c r="D19" s="19" t="s">
        <v>26</v>
      </c>
      <c r="E19" s="16" t="s">
        <v>27</v>
      </c>
    </row>
    <row r="20" spans="1:5" x14ac:dyDescent="0.2">
      <c r="A20" s="16" t="s">
        <v>28</v>
      </c>
      <c r="B20" s="17">
        <v>8</v>
      </c>
      <c r="C20" s="18"/>
      <c r="D20" s="19" t="s">
        <v>26</v>
      </c>
      <c r="E20" s="16" t="s">
        <v>29</v>
      </c>
    </row>
    <row r="21" spans="1:5" x14ac:dyDescent="0.2">
      <c r="A21" s="20" t="s">
        <v>30</v>
      </c>
      <c r="B21" s="21"/>
      <c r="C21" s="21"/>
      <c r="D21" s="21"/>
      <c r="E21" s="21"/>
    </row>
    <row r="22" spans="1:5" x14ac:dyDescent="0.2">
      <c r="A22" s="16" t="s">
        <v>31</v>
      </c>
      <c r="B22" s="17">
        <v>15</v>
      </c>
      <c r="C22" s="18"/>
      <c r="D22" s="19" t="s">
        <v>26</v>
      </c>
      <c r="E22" s="16" t="s">
        <v>32</v>
      </c>
    </row>
    <row r="23" spans="1:5" x14ac:dyDescent="0.2">
      <c r="A23" s="16" t="s">
        <v>33</v>
      </c>
      <c r="B23" s="17">
        <v>5</v>
      </c>
      <c r="C23" s="18"/>
      <c r="D23" s="19" t="s">
        <v>34</v>
      </c>
      <c r="E23" s="16" t="s">
        <v>35</v>
      </c>
    </row>
    <row r="24" spans="1:5" x14ac:dyDescent="0.2">
      <c r="A24" s="22" t="s">
        <v>36</v>
      </c>
      <c r="B24" s="23"/>
      <c r="C24" s="23"/>
      <c r="D24" s="23"/>
      <c r="E24" s="23"/>
    </row>
    <row r="25" spans="1:5" x14ac:dyDescent="0.2">
      <c r="A25" s="16" t="s">
        <v>37</v>
      </c>
      <c r="B25" s="17">
        <v>2</v>
      </c>
      <c r="C25" s="18"/>
      <c r="D25" s="19" t="s">
        <v>26</v>
      </c>
      <c r="E25" s="16" t="s">
        <v>38</v>
      </c>
    </row>
    <row r="26" spans="1:5" x14ac:dyDescent="0.2">
      <c r="A26" s="16" t="s">
        <v>39</v>
      </c>
      <c r="B26" s="17">
        <v>2</v>
      </c>
      <c r="C26" s="18"/>
      <c r="D26" s="19" t="s">
        <v>26</v>
      </c>
      <c r="E26" s="16" t="s">
        <v>40</v>
      </c>
    </row>
    <row r="27" spans="1:5" x14ac:dyDescent="0.2">
      <c r="A27" s="16" t="s">
        <v>41</v>
      </c>
      <c r="B27" s="17">
        <v>5</v>
      </c>
      <c r="C27" s="18"/>
      <c r="D27" s="19" t="s">
        <v>26</v>
      </c>
      <c r="E27" s="16" t="s">
        <v>42</v>
      </c>
    </row>
    <row r="28" spans="1:5" x14ac:dyDescent="0.2">
      <c r="A28" s="24" t="s">
        <v>43</v>
      </c>
      <c r="B28" s="25"/>
      <c r="C28" s="25"/>
      <c r="D28" s="25"/>
      <c r="E28" s="25"/>
    </row>
    <row r="29" spans="1:5" x14ac:dyDescent="0.2">
      <c r="A29" s="16" t="s">
        <v>44</v>
      </c>
      <c r="B29" s="17">
        <v>3</v>
      </c>
      <c r="C29" s="18"/>
      <c r="D29" s="19" t="s">
        <v>45</v>
      </c>
      <c r="E29" s="16" t="s">
        <v>46</v>
      </c>
    </row>
    <row r="30" spans="1:5" x14ac:dyDescent="0.2">
      <c r="A30" s="16" t="s">
        <v>47</v>
      </c>
      <c r="B30" s="17">
        <v>4</v>
      </c>
      <c r="C30" s="18"/>
      <c r="D30" s="19" t="s">
        <v>48</v>
      </c>
      <c r="E30" s="16" t="s">
        <v>49</v>
      </c>
    </row>
    <row r="31" spans="1:5" x14ac:dyDescent="0.2">
      <c r="A31" s="26" t="s">
        <v>50</v>
      </c>
      <c r="B31" s="27">
        <f>B19+B20+B22+B25+B26+B27</f>
        <v>37</v>
      </c>
      <c r="C31" s="28">
        <f>C19+C20+C22+C25+C26+C27</f>
        <v>0</v>
      </c>
      <c r="D31" s="29"/>
      <c r="E31" s="30" t="s">
        <v>51</v>
      </c>
    </row>
    <row r="32" spans="1:5" x14ac:dyDescent="0.2">
      <c r="A32" s="26" t="s">
        <v>52</v>
      </c>
      <c r="B32" s="27">
        <f>B19+B20+B22+B25+B26+B27+B23</f>
        <v>42</v>
      </c>
      <c r="C32" s="28">
        <f>C19+C20+C22+C25+C26+C27+C23</f>
        <v>0</v>
      </c>
      <c r="D32" s="29"/>
      <c r="E32" s="30" t="s">
        <v>53</v>
      </c>
    </row>
    <row r="34" spans="1:5" x14ac:dyDescent="0.2">
      <c r="A34" s="12" t="s">
        <v>54</v>
      </c>
      <c r="B34" s="13"/>
      <c r="C34" s="13"/>
      <c r="D34" s="13"/>
      <c r="E34" s="13"/>
    </row>
    <row r="35" spans="1:5" x14ac:dyDescent="0.2">
      <c r="A35" s="14" t="s">
        <v>24</v>
      </c>
      <c r="B35" s="15"/>
      <c r="C35" s="15"/>
      <c r="D35" s="15"/>
      <c r="E35" s="15"/>
    </row>
    <row r="36" spans="1:5" x14ac:dyDescent="0.2">
      <c r="A36" s="16" t="s">
        <v>25</v>
      </c>
      <c r="B36" s="17">
        <v>8</v>
      </c>
      <c r="C36" s="18"/>
      <c r="D36" s="19" t="s">
        <v>26</v>
      </c>
      <c r="E36" s="16" t="s">
        <v>27</v>
      </c>
    </row>
    <row r="37" spans="1:5" x14ac:dyDescent="0.2">
      <c r="A37" s="16" t="s">
        <v>28</v>
      </c>
      <c r="B37" s="17">
        <v>12</v>
      </c>
      <c r="C37" s="18"/>
      <c r="D37" s="19" t="s">
        <v>26</v>
      </c>
      <c r="E37" s="16" t="s">
        <v>55</v>
      </c>
    </row>
    <row r="38" spans="1:5" x14ac:dyDescent="0.2">
      <c r="A38" s="20" t="s">
        <v>30</v>
      </c>
      <c r="B38" s="21"/>
      <c r="C38" s="21"/>
      <c r="D38" s="21"/>
      <c r="E38" s="21"/>
    </row>
    <row r="39" spans="1:5" x14ac:dyDescent="0.2">
      <c r="A39" s="16" t="s">
        <v>56</v>
      </c>
      <c r="B39" s="17">
        <v>25</v>
      </c>
      <c r="C39" s="18"/>
      <c r="D39" s="19" t="s">
        <v>26</v>
      </c>
      <c r="E39" s="16" t="s">
        <v>57</v>
      </c>
    </row>
    <row r="40" spans="1:5" x14ac:dyDescent="0.2">
      <c r="A40" s="16" t="s">
        <v>58</v>
      </c>
      <c r="B40" s="17">
        <v>5</v>
      </c>
      <c r="C40" s="18"/>
      <c r="D40" s="19" t="s">
        <v>34</v>
      </c>
      <c r="E40" s="16" t="s">
        <v>59</v>
      </c>
    </row>
    <row r="41" spans="1:5" x14ac:dyDescent="0.2">
      <c r="A41" s="22" t="s">
        <v>36</v>
      </c>
      <c r="B41" s="23"/>
      <c r="C41" s="23"/>
      <c r="D41" s="23"/>
      <c r="E41" s="23"/>
    </row>
    <row r="42" spans="1:5" x14ac:dyDescent="0.2">
      <c r="A42" s="16" t="s">
        <v>37</v>
      </c>
      <c r="B42" s="17">
        <v>2</v>
      </c>
      <c r="C42" s="18"/>
      <c r="D42" s="19" t="s">
        <v>26</v>
      </c>
      <c r="E42" s="16" t="s">
        <v>38</v>
      </c>
    </row>
    <row r="43" spans="1:5" x14ac:dyDescent="0.2">
      <c r="A43" s="16" t="s">
        <v>39</v>
      </c>
      <c r="B43" s="17">
        <v>2</v>
      </c>
      <c r="C43" s="18"/>
      <c r="D43" s="19" t="s">
        <v>26</v>
      </c>
      <c r="E43" s="16" t="s">
        <v>40</v>
      </c>
    </row>
    <row r="44" spans="1:5" x14ac:dyDescent="0.2">
      <c r="A44" s="16" t="s">
        <v>41</v>
      </c>
      <c r="B44" s="17">
        <v>6</v>
      </c>
      <c r="C44" s="18"/>
      <c r="D44" s="19" t="s">
        <v>26</v>
      </c>
      <c r="E44" s="16" t="s">
        <v>42</v>
      </c>
    </row>
    <row r="45" spans="1:5" x14ac:dyDescent="0.2">
      <c r="A45" s="24" t="s">
        <v>43</v>
      </c>
      <c r="B45" s="25"/>
      <c r="C45" s="25"/>
      <c r="D45" s="25"/>
      <c r="E45" s="25"/>
    </row>
    <row r="46" spans="1:5" x14ac:dyDescent="0.2">
      <c r="A46" s="16" t="s">
        <v>44</v>
      </c>
      <c r="B46" s="17">
        <v>3</v>
      </c>
      <c r="C46" s="18"/>
      <c r="D46" s="19" t="s">
        <v>45</v>
      </c>
      <c r="E46" s="16" t="s">
        <v>46</v>
      </c>
    </row>
    <row r="47" spans="1:5" x14ac:dyDescent="0.2">
      <c r="A47" s="16" t="s">
        <v>47</v>
      </c>
      <c r="B47" s="17">
        <v>4</v>
      </c>
      <c r="C47" s="18"/>
      <c r="D47" s="19" t="s">
        <v>48</v>
      </c>
      <c r="E47" s="16" t="s">
        <v>49</v>
      </c>
    </row>
    <row r="48" spans="1:5" x14ac:dyDescent="0.2">
      <c r="A48" s="26" t="s">
        <v>50</v>
      </c>
      <c r="B48" s="27">
        <f>B36+B37+B39+B42+B43+B44</f>
        <v>55</v>
      </c>
      <c r="C48" s="28">
        <f>C36+C37+C39+C42+C43+C44</f>
        <v>0</v>
      </c>
      <c r="D48" s="29"/>
      <c r="E48" s="30" t="s">
        <v>51</v>
      </c>
    </row>
    <row r="49" spans="1:5" x14ac:dyDescent="0.2">
      <c r="A49" s="26" t="s">
        <v>52</v>
      </c>
      <c r="B49" s="27">
        <f>B36+B37+B39+B42+B43+B44+B40</f>
        <v>60</v>
      </c>
      <c r="C49" s="28">
        <f>C36+C37+C39+C42+C43+C44+C40</f>
        <v>0</v>
      </c>
      <c r="D49" s="29"/>
      <c r="E49" s="30" t="s">
        <v>53</v>
      </c>
    </row>
    <row r="51" spans="1:5" x14ac:dyDescent="0.2">
      <c r="A51" s="12" t="s">
        <v>60</v>
      </c>
      <c r="B51" s="13"/>
      <c r="C51" s="13"/>
      <c r="D51" s="13"/>
      <c r="E51" s="13"/>
    </row>
    <row r="52" spans="1:5" x14ac:dyDescent="0.2">
      <c r="A52" s="14" t="s">
        <v>24</v>
      </c>
      <c r="B52" s="15"/>
      <c r="C52" s="15"/>
      <c r="D52" s="15"/>
      <c r="E52" s="15"/>
    </row>
    <row r="53" spans="1:5" x14ac:dyDescent="0.2">
      <c r="A53" s="16" t="s">
        <v>25</v>
      </c>
      <c r="B53" s="17">
        <v>8</v>
      </c>
      <c r="C53" s="18"/>
      <c r="D53" s="19" t="s">
        <v>26</v>
      </c>
      <c r="E53" s="16" t="s">
        <v>27</v>
      </c>
    </row>
    <row r="54" spans="1:5" x14ac:dyDescent="0.2">
      <c r="A54" s="16" t="s">
        <v>28</v>
      </c>
      <c r="B54" s="17">
        <v>12</v>
      </c>
      <c r="C54" s="18"/>
      <c r="D54" s="19" t="s">
        <v>26</v>
      </c>
      <c r="E54" s="16" t="s">
        <v>61</v>
      </c>
    </row>
    <row r="55" spans="1:5" x14ac:dyDescent="0.2">
      <c r="A55" s="20" t="s">
        <v>30</v>
      </c>
      <c r="B55" s="21"/>
      <c r="C55" s="21"/>
      <c r="D55" s="21"/>
      <c r="E55" s="21"/>
    </row>
    <row r="56" spans="1:5" x14ac:dyDescent="0.2">
      <c r="A56" s="16" t="s">
        <v>62</v>
      </c>
      <c r="B56" s="17">
        <v>25</v>
      </c>
      <c r="C56" s="18"/>
      <c r="D56" s="19" t="s">
        <v>26</v>
      </c>
      <c r="E56" s="16" t="s">
        <v>63</v>
      </c>
    </row>
    <row r="57" spans="1:5" x14ac:dyDescent="0.2">
      <c r="A57" s="16" t="s">
        <v>58</v>
      </c>
      <c r="B57" s="17">
        <v>5</v>
      </c>
      <c r="C57" s="18"/>
      <c r="D57" s="19" t="s">
        <v>34</v>
      </c>
      <c r="E57" s="16" t="s">
        <v>59</v>
      </c>
    </row>
    <row r="58" spans="1:5" x14ac:dyDescent="0.2">
      <c r="A58" s="22" t="s">
        <v>36</v>
      </c>
      <c r="B58" s="23"/>
      <c r="C58" s="23"/>
      <c r="D58" s="23"/>
      <c r="E58" s="23"/>
    </row>
    <row r="59" spans="1:5" x14ac:dyDescent="0.2">
      <c r="A59" s="16" t="s">
        <v>37</v>
      </c>
      <c r="B59" s="17">
        <v>2</v>
      </c>
      <c r="C59" s="18"/>
      <c r="D59" s="19" t="s">
        <v>26</v>
      </c>
      <c r="E59" s="16" t="s">
        <v>38</v>
      </c>
    </row>
    <row r="60" spans="1:5" x14ac:dyDescent="0.2">
      <c r="A60" s="16" t="s">
        <v>64</v>
      </c>
      <c r="B60" s="17">
        <v>2</v>
      </c>
      <c r="C60" s="18"/>
      <c r="D60" s="19" t="s">
        <v>26</v>
      </c>
      <c r="E60" s="16" t="s">
        <v>40</v>
      </c>
    </row>
    <row r="61" spans="1:5" x14ac:dyDescent="0.2">
      <c r="A61" s="16" t="s">
        <v>65</v>
      </c>
      <c r="B61" s="17">
        <v>8</v>
      </c>
      <c r="C61" s="18"/>
      <c r="D61" s="19" t="s">
        <v>26</v>
      </c>
      <c r="E61" s="16" t="s">
        <v>66</v>
      </c>
    </row>
    <row r="62" spans="1:5" x14ac:dyDescent="0.2">
      <c r="A62" s="16" t="s">
        <v>41</v>
      </c>
      <c r="B62" s="17">
        <v>10</v>
      </c>
      <c r="C62" s="18"/>
      <c r="D62" s="19" t="s">
        <v>26</v>
      </c>
      <c r="E62" s="16" t="s">
        <v>67</v>
      </c>
    </row>
    <row r="63" spans="1:5" x14ac:dyDescent="0.2">
      <c r="A63" s="24" t="s">
        <v>43</v>
      </c>
      <c r="B63" s="25"/>
      <c r="C63" s="25"/>
      <c r="D63" s="25"/>
      <c r="E63" s="25"/>
    </row>
    <row r="64" spans="1:5" x14ac:dyDescent="0.2">
      <c r="A64" s="16" t="s">
        <v>44</v>
      </c>
      <c r="B64" s="17">
        <v>3</v>
      </c>
      <c r="C64" s="18"/>
      <c r="D64" s="19" t="s">
        <v>45</v>
      </c>
      <c r="E64" s="16" t="s">
        <v>46</v>
      </c>
    </row>
    <row r="65" spans="1:5" x14ac:dyDescent="0.2">
      <c r="A65" s="16" t="s">
        <v>47</v>
      </c>
      <c r="B65" s="17">
        <v>4</v>
      </c>
      <c r="C65" s="18"/>
      <c r="D65" s="19" t="s">
        <v>48</v>
      </c>
      <c r="E65" s="16" t="s">
        <v>49</v>
      </c>
    </row>
    <row r="66" spans="1:5" x14ac:dyDescent="0.2">
      <c r="A66" s="26" t="s">
        <v>50</v>
      </c>
      <c r="B66" s="27">
        <f>B53+B54+B56+B59+B60+B61+B62</f>
        <v>67</v>
      </c>
      <c r="C66" s="28">
        <f>C53+C54+C56+C59+C60+C61+C62</f>
        <v>0</v>
      </c>
      <c r="D66" s="29"/>
      <c r="E66" s="30" t="s">
        <v>51</v>
      </c>
    </row>
    <row r="67" spans="1:5" x14ac:dyDescent="0.2">
      <c r="A67" s="26" t="s">
        <v>52</v>
      </c>
      <c r="B67" s="27">
        <f>B53+B54+B56+B59+B60+B61+B62+B57</f>
        <v>72</v>
      </c>
      <c r="C67" s="28">
        <f>C53+C54+C56+C59+C60+C61+C62+C57</f>
        <v>0</v>
      </c>
      <c r="D67" s="29"/>
      <c r="E67" s="30" t="s">
        <v>53</v>
      </c>
    </row>
    <row r="69" spans="1:5" x14ac:dyDescent="0.2">
      <c r="A69" s="12" t="s">
        <v>68</v>
      </c>
      <c r="B69" s="13"/>
      <c r="C69" s="13"/>
      <c r="D69" s="13"/>
      <c r="E69" s="13"/>
    </row>
    <row r="70" spans="1:5" x14ac:dyDescent="0.2">
      <c r="A70" s="14" t="s">
        <v>24</v>
      </c>
      <c r="B70" s="15"/>
      <c r="C70" s="15"/>
      <c r="D70" s="15"/>
      <c r="E70" s="15"/>
    </row>
    <row r="71" spans="1:5" x14ac:dyDescent="0.2">
      <c r="A71" s="16" t="s">
        <v>25</v>
      </c>
      <c r="B71" s="17">
        <v>5</v>
      </c>
      <c r="C71" s="18"/>
      <c r="D71" s="19" t="s">
        <v>26</v>
      </c>
      <c r="E71" s="16" t="s">
        <v>27</v>
      </c>
    </row>
    <row r="72" spans="1:5" x14ac:dyDescent="0.2">
      <c r="A72" s="16" t="s">
        <v>28</v>
      </c>
      <c r="B72" s="17">
        <v>6</v>
      </c>
      <c r="C72" s="18"/>
      <c r="D72" s="19" t="s">
        <v>26</v>
      </c>
      <c r="E72" s="16" t="s">
        <v>69</v>
      </c>
    </row>
    <row r="73" spans="1:5" x14ac:dyDescent="0.2">
      <c r="A73" s="20" t="s">
        <v>30</v>
      </c>
      <c r="B73" s="21"/>
      <c r="C73" s="21"/>
      <c r="D73" s="21"/>
      <c r="E73" s="21"/>
    </row>
    <row r="74" spans="1:5" x14ac:dyDescent="0.2">
      <c r="A74" s="16" t="s">
        <v>70</v>
      </c>
      <c r="B74" s="31">
        <v>0</v>
      </c>
      <c r="C74" s="18"/>
      <c r="D74" s="19" t="s">
        <v>26</v>
      </c>
      <c r="E74" s="16" t="s">
        <v>71</v>
      </c>
    </row>
    <row r="75" spans="1:5" x14ac:dyDescent="0.2">
      <c r="A75" s="16" t="s">
        <v>58</v>
      </c>
      <c r="B75" s="17">
        <v>5</v>
      </c>
      <c r="C75" s="18"/>
      <c r="D75" s="19" t="s">
        <v>34</v>
      </c>
      <c r="E75" s="16" t="s">
        <v>59</v>
      </c>
    </row>
    <row r="76" spans="1:5" x14ac:dyDescent="0.2">
      <c r="A76" s="22" t="s">
        <v>36</v>
      </c>
      <c r="B76" s="23"/>
      <c r="C76" s="23"/>
      <c r="D76" s="23"/>
      <c r="E76" s="23"/>
    </row>
    <row r="77" spans="1:5" x14ac:dyDescent="0.2">
      <c r="A77" s="16" t="s">
        <v>37</v>
      </c>
      <c r="B77" s="17">
        <v>2</v>
      </c>
      <c r="C77" s="18"/>
      <c r="D77" s="19" t="s">
        <v>26</v>
      </c>
      <c r="E77" s="16" t="s">
        <v>38</v>
      </c>
    </row>
    <row r="78" spans="1:5" x14ac:dyDescent="0.2">
      <c r="A78" s="16" t="s">
        <v>72</v>
      </c>
      <c r="B78" s="17">
        <v>3</v>
      </c>
      <c r="C78" s="18"/>
      <c r="D78" s="19" t="s">
        <v>26</v>
      </c>
      <c r="E78" s="16" t="s">
        <v>73</v>
      </c>
    </row>
    <row r="79" spans="1:5" x14ac:dyDescent="0.2">
      <c r="A79" s="16" t="s">
        <v>41</v>
      </c>
      <c r="B79" s="17">
        <v>5</v>
      </c>
      <c r="C79" s="18"/>
      <c r="D79" s="19" t="s">
        <v>26</v>
      </c>
      <c r="E79" s="16" t="s">
        <v>42</v>
      </c>
    </row>
    <row r="80" spans="1:5" x14ac:dyDescent="0.2">
      <c r="A80" s="24" t="s">
        <v>43</v>
      </c>
      <c r="B80" s="25"/>
      <c r="C80" s="25"/>
      <c r="D80" s="25"/>
      <c r="E80" s="25"/>
    </row>
    <row r="81" spans="1:5" x14ac:dyDescent="0.2">
      <c r="A81" s="16" t="s">
        <v>44</v>
      </c>
      <c r="B81" s="17">
        <v>3</v>
      </c>
      <c r="C81" s="18"/>
      <c r="D81" s="19" t="s">
        <v>45</v>
      </c>
      <c r="E81" s="16" t="s">
        <v>46</v>
      </c>
    </row>
    <row r="82" spans="1:5" x14ac:dyDescent="0.2">
      <c r="A82" s="16" t="s">
        <v>47</v>
      </c>
      <c r="B82" s="17">
        <v>4</v>
      </c>
      <c r="C82" s="18"/>
      <c r="D82" s="19" t="s">
        <v>48</v>
      </c>
      <c r="E82" s="16" t="s">
        <v>49</v>
      </c>
    </row>
    <row r="83" spans="1:5" x14ac:dyDescent="0.2">
      <c r="A83" s="26" t="s">
        <v>50</v>
      </c>
      <c r="B83" s="27">
        <f>B71+B72+B74+B77+B78+B79</f>
        <v>21</v>
      </c>
      <c r="C83" s="28">
        <f>C71+C72+C74+C77+C78+C79</f>
        <v>0</v>
      </c>
      <c r="D83" s="29"/>
      <c r="E83" s="30" t="s">
        <v>51</v>
      </c>
    </row>
    <row r="85" spans="1:5" x14ac:dyDescent="0.2">
      <c r="A85" s="12" t="s">
        <v>74</v>
      </c>
      <c r="B85" s="13"/>
      <c r="C85" s="13"/>
      <c r="D85" s="13"/>
      <c r="E85" s="13"/>
    </row>
    <row r="86" spans="1:5" x14ac:dyDescent="0.2">
      <c r="A86" s="14" t="s">
        <v>24</v>
      </c>
      <c r="B86" s="15"/>
      <c r="C86" s="15"/>
      <c r="D86" s="15"/>
      <c r="E86" s="15"/>
    </row>
    <row r="87" spans="1:5" x14ac:dyDescent="0.2">
      <c r="A87" s="16" t="s">
        <v>25</v>
      </c>
      <c r="B87" s="17">
        <v>5</v>
      </c>
      <c r="C87" s="18"/>
      <c r="D87" s="19" t="s">
        <v>26</v>
      </c>
      <c r="E87" s="16" t="s">
        <v>27</v>
      </c>
    </row>
    <row r="88" spans="1:5" x14ac:dyDescent="0.2">
      <c r="A88" s="16" t="s">
        <v>28</v>
      </c>
      <c r="B88" s="17">
        <v>6</v>
      </c>
      <c r="C88" s="18"/>
      <c r="D88" s="19" t="s">
        <v>26</v>
      </c>
      <c r="E88" s="16" t="s">
        <v>75</v>
      </c>
    </row>
    <row r="89" spans="1:5" x14ac:dyDescent="0.2">
      <c r="A89" s="20" t="s">
        <v>30</v>
      </c>
      <c r="B89" s="21"/>
      <c r="C89" s="21"/>
      <c r="D89" s="21"/>
      <c r="E89" s="21"/>
    </row>
    <row r="90" spans="1:5" x14ac:dyDescent="0.2">
      <c r="A90" s="16" t="s">
        <v>76</v>
      </c>
      <c r="B90" s="17">
        <v>5</v>
      </c>
      <c r="C90" s="18"/>
      <c r="D90" s="19" t="s">
        <v>26</v>
      </c>
      <c r="E90" s="16" t="s">
        <v>77</v>
      </c>
    </row>
    <row r="91" spans="1:5" x14ac:dyDescent="0.2">
      <c r="A91" s="16" t="s">
        <v>78</v>
      </c>
      <c r="B91" s="17">
        <v>5</v>
      </c>
      <c r="C91" s="18"/>
      <c r="D91" s="19" t="s">
        <v>34</v>
      </c>
      <c r="E91" s="16" t="s">
        <v>79</v>
      </c>
    </row>
    <row r="92" spans="1:5" x14ac:dyDescent="0.2">
      <c r="A92" s="22" t="s">
        <v>36</v>
      </c>
      <c r="B92" s="23"/>
      <c r="C92" s="23"/>
      <c r="D92" s="23"/>
      <c r="E92" s="23"/>
    </row>
    <row r="93" spans="1:5" x14ac:dyDescent="0.2">
      <c r="A93" s="16" t="s">
        <v>37</v>
      </c>
      <c r="B93" s="17">
        <v>2</v>
      </c>
      <c r="C93" s="18"/>
      <c r="D93" s="19" t="s">
        <v>26</v>
      </c>
      <c r="E93" s="16" t="s">
        <v>38</v>
      </c>
    </row>
    <row r="94" spans="1:5" x14ac:dyDescent="0.2">
      <c r="A94" s="16" t="s">
        <v>72</v>
      </c>
      <c r="B94" s="17">
        <v>3</v>
      </c>
      <c r="C94" s="18"/>
      <c r="D94" s="19" t="s">
        <v>26</v>
      </c>
      <c r="E94" s="16" t="s">
        <v>73</v>
      </c>
    </row>
    <row r="95" spans="1:5" x14ac:dyDescent="0.2">
      <c r="A95" s="16" t="s">
        <v>41</v>
      </c>
      <c r="B95" s="17">
        <v>5</v>
      </c>
      <c r="C95" s="18"/>
      <c r="D95" s="19" t="s">
        <v>26</v>
      </c>
      <c r="E95" s="16" t="s">
        <v>42</v>
      </c>
    </row>
    <row r="96" spans="1:5" x14ac:dyDescent="0.2">
      <c r="A96" s="24" t="s">
        <v>43</v>
      </c>
      <c r="B96" s="25"/>
      <c r="C96" s="25"/>
      <c r="D96" s="25"/>
      <c r="E96" s="25"/>
    </row>
    <row r="97" spans="1:5" x14ac:dyDescent="0.2">
      <c r="A97" s="16" t="s">
        <v>44</v>
      </c>
      <c r="B97" s="17">
        <v>3</v>
      </c>
      <c r="C97" s="18"/>
      <c r="D97" s="19" t="s">
        <v>45</v>
      </c>
      <c r="E97" s="16" t="s">
        <v>46</v>
      </c>
    </row>
    <row r="98" spans="1:5" x14ac:dyDescent="0.2">
      <c r="A98" s="16" t="s">
        <v>47</v>
      </c>
      <c r="B98" s="17">
        <v>4</v>
      </c>
      <c r="C98" s="18"/>
      <c r="D98" s="19" t="s">
        <v>48</v>
      </c>
      <c r="E98" s="16" t="s">
        <v>49</v>
      </c>
    </row>
    <row r="99" spans="1:5" x14ac:dyDescent="0.2">
      <c r="A99" s="26" t="s">
        <v>50</v>
      </c>
      <c r="B99" s="27">
        <f>B87+B88+B90+B93+B94+B95</f>
        <v>26</v>
      </c>
      <c r="C99" s="28">
        <f>C87+C88+C90+C93+C94+C95</f>
        <v>0</v>
      </c>
      <c r="D99" s="29"/>
      <c r="E99" s="30" t="s">
        <v>51</v>
      </c>
    </row>
    <row r="100" spans="1:5" x14ac:dyDescent="0.2">
      <c r="A100" s="26" t="s">
        <v>52</v>
      </c>
      <c r="B100" s="27">
        <f>B87+B88+B90+B93+B94+B95+B91</f>
        <v>31</v>
      </c>
      <c r="C100" s="28">
        <f>C87+C88+C90+C93+C94+C95+C91</f>
        <v>0</v>
      </c>
      <c r="D100" s="29"/>
      <c r="E100" s="30" t="s">
        <v>53</v>
      </c>
    </row>
    <row r="102" spans="1:5" x14ac:dyDescent="0.2">
      <c r="A102" s="12" t="s">
        <v>80</v>
      </c>
      <c r="B102" s="13"/>
      <c r="C102" s="13"/>
      <c r="D102" s="13"/>
      <c r="E102" s="13"/>
    </row>
    <row r="103" spans="1:5" x14ac:dyDescent="0.2">
      <c r="A103" s="14" t="s">
        <v>24</v>
      </c>
      <c r="B103" s="15"/>
      <c r="C103" s="15"/>
      <c r="D103" s="15"/>
      <c r="E103" s="15"/>
    </row>
    <row r="104" spans="1:5" x14ac:dyDescent="0.2">
      <c r="A104" s="16" t="s">
        <v>25</v>
      </c>
      <c r="B104" s="17">
        <v>5</v>
      </c>
      <c r="C104" s="18"/>
      <c r="D104" s="19" t="s">
        <v>26</v>
      </c>
      <c r="E104" s="16" t="s">
        <v>27</v>
      </c>
    </row>
    <row r="105" spans="1:5" x14ac:dyDescent="0.2">
      <c r="A105" s="16" t="s">
        <v>28</v>
      </c>
      <c r="B105" s="17">
        <v>6</v>
      </c>
      <c r="C105" s="18"/>
      <c r="D105" s="19" t="s">
        <v>26</v>
      </c>
      <c r="E105" s="16" t="s">
        <v>75</v>
      </c>
    </row>
    <row r="106" spans="1:5" x14ac:dyDescent="0.2">
      <c r="A106" s="20" t="s">
        <v>30</v>
      </c>
      <c r="B106" s="21"/>
      <c r="C106" s="21"/>
      <c r="D106" s="21"/>
      <c r="E106" s="21"/>
    </row>
    <row r="107" spans="1:5" x14ac:dyDescent="0.2">
      <c r="A107" s="16" t="s">
        <v>76</v>
      </c>
      <c r="B107" s="17">
        <v>5</v>
      </c>
      <c r="C107" s="18"/>
      <c r="D107" s="19" t="s">
        <v>26</v>
      </c>
      <c r="E107" s="16" t="s">
        <v>77</v>
      </c>
    </row>
    <row r="108" spans="1:5" x14ac:dyDescent="0.2">
      <c r="A108" s="16" t="s">
        <v>81</v>
      </c>
      <c r="B108" s="17">
        <v>5</v>
      </c>
      <c r="C108" s="18"/>
      <c r="D108" s="19" t="s">
        <v>34</v>
      </c>
      <c r="E108" s="16" t="s">
        <v>82</v>
      </c>
    </row>
    <row r="109" spans="1:5" x14ac:dyDescent="0.2">
      <c r="A109" s="22" t="s">
        <v>36</v>
      </c>
      <c r="B109" s="23"/>
      <c r="C109" s="23"/>
      <c r="D109" s="23"/>
      <c r="E109" s="23"/>
    </row>
    <row r="110" spans="1:5" x14ac:dyDescent="0.2">
      <c r="A110" s="16" t="s">
        <v>37</v>
      </c>
      <c r="B110" s="17">
        <v>2</v>
      </c>
      <c r="C110" s="18"/>
      <c r="D110" s="19" t="s">
        <v>26</v>
      </c>
      <c r="E110" s="16" t="s">
        <v>38</v>
      </c>
    </row>
    <row r="111" spans="1:5" x14ac:dyDescent="0.2">
      <c r="A111" s="16" t="s">
        <v>72</v>
      </c>
      <c r="B111" s="17">
        <v>3</v>
      </c>
      <c r="C111" s="18"/>
      <c r="D111" s="19" t="s">
        <v>26</v>
      </c>
      <c r="E111" s="16" t="s">
        <v>73</v>
      </c>
    </row>
    <row r="112" spans="1:5" x14ac:dyDescent="0.2">
      <c r="A112" s="16" t="s">
        <v>41</v>
      </c>
      <c r="B112" s="17">
        <v>5</v>
      </c>
      <c r="C112" s="18"/>
      <c r="D112" s="19" t="s">
        <v>26</v>
      </c>
      <c r="E112" s="16" t="s">
        <v>42</v>
      </c>
    </row>
    <row r="113" spans="1:5" x14ac:dyDescent="0.2">
      <c r="A113" s="24" t="s">
        <v>43</v>
      </c>
      <c r="B113" s="25"/>
      <c r="C113" s="25"/>
      <c r="D113" s="25"/>
      <c r="E113" s="25"/>
    </row>
    <row r="114" spans="1:5" x14ac:dyDescent="0.2">
      <c r="A114" s="16" t="s">
        <v>44</v>
      </c>
      <c r="B114" s="17">
        <v>3</v>
      </c>
      <c r="C114" s="18"/>
      <c r="D114" s="19" t="s">
        <v>45</v>
      </c>
      <c r="E114" s="16" t="s">
        <v>46</v>
      </c>
    </row>
    <row r="115" spans="1:5" x14ac:dyDescent="0.2">
      <c r="A115" s="16" t="s">
        <v>47</v>
      </c>
      <c r="B115" s="17">
        <v>4</v>
      </c>
      <c r="C115" s="18"/>
      <c r="D115" s="19" t="s">
        <v>48</v>
      </c>
      <c r="E115" s="16" t="s">
        <v>49</v>
      </c>
    </row>
    <row r="116" spans="1:5" x14ac:dyDescent="0.2">
      <c r="A116" s="26" t="s">
        <v>50</v>
      </c>
      <c r="B116" s="27">
        <f>B104+B105+B107+B110+B111+B112</f>
        <v>26</v>
      </c>
      <c r="C116" s="28">
        <f>C104+C105+C107+C110+C111+C112</f>
        <v>0</v>
      </c>
      <c r="D116" s="29"/>
      <c r="E116" s="30" t="s">
        <v>51</v>
      </c>
    </row>
    <row r="117" spans="1:5" x14ac:dyDescent="0.2">
      <c r="A117" s="26" t="s">
        <v>52</v>
      </c>
      <c r="B117" s="27">
        <f>B104+B105+B107+B110+B111+B112+B108</f>
        <v>31</v>
      </c>
      <c r="C117" s="28">
        <f>C104+C105+C107+C110+C111+C112+C108</f>
        <v>0</v>
      </c>
      <c r="D117" s="29"/>
      <c r="E117" s="30" t="s">
        <v>53</v>
      </c>
    </row>
    <row r="120" spans="1:5" x14ac:dyDescent="0.2">
      <c r="A120" s="32" t="s">
        <v>83</v>
      </c>
    </row>
    <row r="121" spans="1:5" x14ac:dyDescent="0.2">
      <c r="A121" s="6" t="s">
        <v>84</v>
      </c>
    </row>
    <row r="122" spans="1:5" x14ac:dyDescent="0.2">
      <c r="A122" s="6" t="s">
        <v>85</v>
      </c>
    </row>
    <row r="123" spans="1:5" x14ac:dyDescent="0.2">
      <c r="A123" s="6" t="s">
        <v>86</v>
      </c>
    </row>
    <row r="124" spans="1:5" x14ac:dyDescent="0.2">
      <c r="A124" s="6" t="s">
        <v>87</v>
      </c>
    </row>
    <row r="125" spans="1:5" x14ac:dyDescent="0.2">
      <c r="A125" s="6" t="s">
        <v>88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Kristen Boardman</cp:lastModifiedBy>
  <cp:revision>0</cp:revision>
  <dcterms:created xsi:type="dcterms:W3CDTF">2026-04-09T15:44:53Z</dcterms:created>
  <dcterms:modified xsi:type="dcterms:W3CDTF">2026-04-10T00:27:32Z</dcterms:modified>
  <dc:language>en-US</dc:language>
</cp:coreProperties>
</file>